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hollywoodbets365-my.sharepoint.com/personal/tyran_hollywoodbets_net/Documents/Desktop/Work/Projects/Travel Report_Ian/Report Requirements/"/>
    </mc:Choice>
  </mc:AlternateContent>
  <xr:revisionPtr revIDLastSave="614" documentId="11_F25DC773A252ABDACC104821791A54C85BDE58EA" xr6:coauthVersionLast="47" xr6:coauthVersionMax="47" xr10:uidLastSave="{0F47F554-C8EF-4E51-AD38-06E346097FD5}"/>
  <bookViews>
    <workbookView xWindow="-108" yWindow="-108" windowWidth="23256" windowHeight="12456" xr2:uid="{00000000-000D-0000-FFFF-FFFF00000000}"/>
  </bookViews>
  <sheets>
    <sheet name="Report Columns Required" sheetId="1" r:id="rId1"/>
    <sheet name="Drop Down Field Values" sheetId="6" r:id="rId2"/>
    <sheet name="Table Layout &amp; Filters" sheetId="5" r:id="rId3"/>
  </sheets>
  <definedNames>
    <definedName name="_xlnm._FilterDatabase" localSheetId="1" hidden="1">'Drop Down Field Values'!$A$1:$A$11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1"/>
  <c r="E4" i="5"/>
  <c r="E5" i="5"/>
  <c r="E6" i="5"/>
  <c r="E7" i="5"/>
  <c r="E8" i="5"/>
  <c r="E9" i="5"/>
  <c r="E10" i="5"/>
  <c r="E11" i="5"/>
  <c r="E2" i="5"/>
</calcChain>
</file>

<file path=xl/sharedStrings.xml><?xml version="1.0" encoding="utf-8"?>
<sst xmlns="http://schemas.openxmlformats.org/spreadsheetml/2006/main" count="288" uniqueCount="130">
  <si>
    <t>Date Dimensions</t>
  </si>
  <si>
    <t>Column Name</t>
  </si>
  <si>
    <t>Type</t>
  </si>
  <si>
    <t>Status</t>
  </si>
  <si>
    <t>Date Booked</t>
  </si>
  <si>
    <t>Date</t>
  </si>
  <si>
    <t>Available</t>
  </si>
  <si>
    <t>Date Of Departure</t>
  </si>
  <si>
    <t>Date Of Return</t>
  </si>
  <si>
    <t>Calculated</t>
  </si>
  <si>
    <t>Week Of Year</t>
  </si>
  <si>
    <t>Travel Duration (Days)</t>
  </si>
  <si>
    <t>Travel Reference Information</t>
  </si>
  <si>
    <t>Travel Reference</t>
  </si>
  <si>
    <t>Traveller Information</t>
  </si>
  <si>
    <t>Full Name</t>
  </si>
  <si>
    <t>Company</t>
  </si>
  <si>
    <t>Department</t>
  </si>
  <si>
    <t>Job Title</t>
  </si>
  <si>
    <t>Internal / External</t>
  </si>
  <si>
    <t>Dropdown</t>
  </si>
  <si>
    <t>Travel Type</t>
  </si>
  <si>
    <t>One Way / Return</t>
  </si>
  <si>
    <t>Domestic / International</t>
  </si>
  <si>
    <t>Reason For Travel</t>
  </si>
  <si>
    <t>Route Information</t>
  </si>
  <si>
    <t>From</t>
  </si>
  <si>
    <t>To</t>
  </si>
  <si>
    <t>Approval Information</t>
  </si>
  <si>
    <t>Approved By</t>
  </si>
  <si>
    <t>Approval Date</t>
  </si>
  <si>
    <t>Financial Information</t>
  </si>
  <si>
    <t>Amount</t>
  </si>
  <si>
    <t>Billing Company</t>
  </si>
  <si>
    <t>Flight</t>
  </si>
  <si>
    <t>Hotel</t>
  </si>
  <si>
    <t>Car Hire</t>
  </si>
  <si>
    <t>Internal</t>
  </si>
  <si>
    <t>External</t>
  </si>
  <si>
    <t>One Way</t>
  </si>
  <si>
    <t>Return</t>
  </si>
  <si>
    <t>Finance</t>
  </si>
  <si>
    <t>Marketing</t>
  </si>
  <si>
    <t>Operations</t>
  </si>
  <si>
    <t>Traveller</t>
  </si>
  <si>
    <t>Amount (R)</t>
  </si>
  <si>
    <t>TRV-2024-0001</t>
  </si>
  <si>
    <t>John Smith</t>
  </si>
  <si>
    <t>Hollywoodbets</t>
  </si>
  <si>
    <t>Marketing Manager</t>
  </si>
  <si>
    <t>Domestic</t>
  </si>
  <si>
    <t>Conference</t>
  </si>
  <si>
    <t>JNB</t>
  </si>
  <si>
    <t>CPT</t>
  </si>
  <si>
    <t>M. Naidoo</t>
  </si>
  <si>
    <t>TRV-2024-0002</t>
  </si>
  <si>
    <t>Sarah Naicker</t>
  </si>
  <si>
    <t>Purple Team</t>
  </si>
  <si>
    <t>Operations Lead</t>
  </si>
  <si>
    <t>Site Visit</t>
  </si>
  <si>
    <t>DUR</t>
  </si>
  <si>
    <t>S. Govender</t>
  </si>
  <si>
    <t>TRV-2024-0003</t>
  </si>
  <si>
    <t>Ahmed Khan</t>
  </si>
  <si>
    <t>IT</t>
  </si>
  <si>
    <t>IT Analyst</t>
  </si>
  <si>
    <t>Training</t>
  </si>
  <si>
    <t>TRV-2024-0004</t>
  </si>
  <si>
    <t>Lerato Mokoena</t>
  </si>
  <si>
    <t>Gold Circle</t>
  </si>
  <si>
    <t>Retail</t>
  </si>
  <si>
    <t>Retail Manager</t>
  </si>
  <si>
    <t>Meeting</t>
  </si>
  <si>
    <t>PE</t>
  </si>
  <si>
    <t>T. Mokoena</t>
  </si>
  <si>
    <t>TRV-2024-0005</t>
  </si>
  <si>
    <t>Peter Jacob</t>
  </si>
  <si>
    <t>Operations Officer</t>
  </si>
  <si>
    <t>CTG</t>
  </si>
  <si>
    <t>TRV-2024-0006</t>
  </si>
  <si>
    <t>Nicole Pillay</t>
  </si>
  <si>
    <t>Brand Specialist</t>
  </si>
  <si>
    <t>International</t>
  </si>
  <si>
    <t>LON</t>
  </si>
  <si>
    <t>TRV-2024-0007</t>
  </si>
  <si>
    <t>Thabo Dlamini</t>
  </si>
  <si>
    <t>Systems Analyst</t>
  </si>
  <si>
    <t>Project Work</t>
  </si>
  <si>
    <t>BFN</t>
  </si>
  <si>
    <t>TRV-2024-0008</t>
  </si>
  <si>
    <t>Priya Reddy</t>
  </si>
  <si>
    <t>Financial Analyst</t>
  </si>
  <si>
    <t>DXB</t>
  </si>
  <si>
    <t>TRV-2024-0009</t>
  </si>
  <si>
    <t>Michael Botha</t>
  </si>
  <si>
    <t>Compliance</t>
  </si>
  <si>
    <t>Compliance Officer</t>
  </si>
  <si>
    <t>Audit</t>
  </si>
  <si>
    <t>PMB</t>
  </si>
  <si>
    <t>TRV-2024-0010</t>
  </si>
  <si>
    <t>Jessica Govender</t>
  </si>
  <si>
    <t>Marketing Executive</t>
  </si>
  <si>
    <t>Text</t>
  </si>
  <si>
    <t>Currency</t>
  </si>
  <si>
    <t>Travel Attributes</t>
  </si>
  <si>
    <t>Mode of Transport</t>
  </si>
  <si>
    <t>Department Team Member Falls Under</t>
  </si>
  <si>
    <t>Notes</t>
  </si>
  <si>
    <t>To be created</t>
  </si>
  <si>
    <t>To be updated</t>
  </si>
  <si>
    <t>Trip Type</t>
  </si>
  <si>
    <t>Required for dashboard and report only</t>
  </si>
  <si>
    <t>Required for dashboard and report only (Return Date - Departure Return)</t>
  </si>
  <si>
    <t>Free text field for Travel Co-oridinators to input</t>
  </si>
  <si>
    <t>Will review at a later stage</t>
  </si>
  <si>
    <t>If possible to add column without replacing another column then please do.</t>
  </si>
  <si>
    <t>RACING DISTRIBUTION</t>
  </si>
  <si>
    <t>STAR MERCHANT</t>
  </si>
  <si>
    <t>HOLLYWOODBETS</t>
  </si>
  <si>
    <t>SPLASHOUT</t>
  </si>
  <si>
    <t>HOLLYWOOD FOUNDATION</t>
  </si>
  <si>
    <t>WINNING FORM</t>
  </si>
  <si>
    <t>STAR FACTORY</t>
  </si>
  <si>
    <t>STARBAR &amp; CAFÉ</t>
  </si>
  <si>
    <t>BET SOFTWARE</t>
  </si>
  <si>
    <t>HOLLYWOOD ATHLETIC CLUB</t>
  </si>
  <si>
    <t>This is currently free text. Dropdown values on next tab.</t>
  </si>
  <si>
    <t>Completed</t>
  </si>
  <si>
    <t>Is it possible to created a drop down for the Cities with a search instead of scroll to find? JHB - Johannesburg, DUR/DBN - Durban etc. Cater for International Travel or "Other".</t>
  </si>
  <si>
    <t>This request is not intended to modify the existing travel form. Instead, the following additional fields should be added to the Travel Coordinator's backend view when opening and managing individual tickets.
Please note that some of these updates will also impact the frontend, primarily where dropdown field values need to be updated or expanded.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</si>
</sst>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1"/>
      <color theme="1"/>
      <name val="Calibri"/>
      <family val="2"/>
      <scheme val="minor"/>
    </font>
    <font>
      <sz val="10"/>
      <color theme="1"/>
      <name val="Calibri"/>
      <family val="2"/>
      <scheme val="minor"/>
    </font>
    <font>
      <b/>
      <sz val="10"/>
      <name val="Calibri"/>
      <family val="2"/>
      <scheme val="minor"/>
    </font>
    <font>
      <b/>
      <sz val="10"/>
      <color theme="0"/>
      <name val="Calibri"/>
      <family val="2"/>
      <scheme val="minor"/>
    </font>
    <font>
      <sz val="11"/>
      <color theme="1"/>
      <name val="Calibri"/>
      <family val="2"/>
      <scheme val="minor"/>
    </font>
    <font>
      <sz val="10"/>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rgb="FFFFC00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4" fillId="0" borderId="0" applyFont="0" applyFill="0" applyBorder="0" applyAlignment="0" applyProtection="0"/>
  </cellStyleXfs>
  <cellXfs count="36">
    <xf numFmtId="0" fontId="0" fillId="0" borderId="0" xfId="0"/>
    <xf numFmtId="0" fontId="1" fillId="0" borderId="0" xfId="0" applyFont="1"/>
    <xf numFmtId="0" fontId="2"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0" borderId="0" xfId="0" applyFont="1" applyAlignment="1">
      <alignment vertical="center" wrapText="1"/>
    </xf>
    <xf numFmtId="0" fontId="3" fillId="8" borderId="1" xfId="0" applyFont="1" applyFill="1" applyBorder="1" applyAlignment="1">
      <alignment vertical="center" wrapText="1"/>
    </xf>
    <xf numFmtId="0" fontId="1" fillId="0" borderId="1" xfId="0" applyFont="1" applyBorder="1">
      <extLst>
        <ext xmlns:xfpb="http://schemas.microsoft.com/office/spreadsheetml/2022/featurepropertybag" uri="{C7286773-470A-42A8-94C5-96B5CB345126}">
          <xfpb:xfComplement i="0"/>
        </ext>
      </extLst>
    </xf>
    <xf numFmtId="0" fontId="1" fillId="0" borderId="1" xfId="0" applyFont="1" applyBorder="1"/>
    <xf numFmtId="15" fontId="1" fillId="0" borderId="0" xfId="0" applyNumberFormat="1" applyFont="1"/>
    <xf numFmtId="0" fontId="1" fillId="9" borderId="1" xfId="0" applyFont="1" applyFill="1" applyBorder="1">
      <extLst>
        <ext xmlns:xfpb="http://schemas.microsoft.com/office/spreadsheetml/2022/featurepropertybag" uri="{C7286773-470A-42A8-94C5-96B5CB345126}">
          <xfpb:xfComplement i="0"/>
        </ext>
      </extLst>
    </xf>
    <xf numFmtId="0" fontId="1" fillId="10" borderId="1" xfId="0" applyFont="1" applyFill="1" applyBorder="1">
      <extLst>
        <ext xmlns:xfpb="http://schemas.microsoft.com/office/spreadsheetml/2022/featurepropertybag" uri="{C7286773-470A-42A8-94C5-96B5CB345126}">
          <xfpb:xfComplement i="0"/>
        </ext>
      </extLst>
    </xf>
    <xf numFmtId="0" fontId="1" fillId="0" borderId="1" xfId="0" applyFont="1" applyBorder="1" applyAlignment="1">
      <alignment horizontal="left"/>
    </xf>
    <xf numFmtId="0" fontId="1" fillId="11" borderId="1" xfId="0" applyFont="1" applyFill="1" applyBorder="1">
      <extLst>
        <ext xmlns:xfpb="http://schemas.microsoft.com/office/spreadsheetml/2022/featurepropertybag" uri="{C7286773-470A-42A8-94C5-96B5CB345126}">
          <xfpb:xfComplement i="0"/>
        </ext>
      </extLst>
    </xf>
    <xf numFmtId="0" fontId="1" fillId="11" borderId="1" xfId="0" applyFont="1" applyFill="1" applyBorder="1" applyAlignment="1">
      <alignment vertical="center" wrapText="1"/>
    </xf>
    <xf numFmtId="0" fontId="1" fillId="11" borderId="1" xfId="0" applyFont="1" applyFill="1" applyBorder="1"/>
    <xf numFmtId="0" fontId="1" fillId="12" borderId="1" xfId="0" applyFont="1" applyFill="1" applyBorder="1">
      <extLst>
        <ext xmlns:xfpb="http://schemas.microsoft.com/office/spreadsheetml/2022/featurepropertybag" uri="{C7286773-470A-42A8-94C5-96B5CB345126}">
          <xfpb:xfComplement i="0"/>
        </ext>
      </extLst>
    </xf>
    <xf numFmtId="0" fontId="3" fillId="8" borderId="1" xfId="0" applyFont="1" applyFill="1" applyBorder="1" applyAlignment="1">
      <alignment horizontal="center" vertical="center" wrapText="1"/>
    </xf>
    <xf numFmtId="0" fontId="1" fillId="13" borderId="0" xfId="0" applyFont="1" applyFill="1"/>
    <xf numFmtId="0" fontId="5" fillId="9" borderId="0" xfId="0" applyFont="1" applyFill="1"/>
    <xf numFmtId="0" fontId="5" fillId="10" borderId="0" xfId="0" applyFont="1" applyFill="1"/>
    <xf numFmtId="0" fontId="5" fillId="12" borderId="0" xfId="0" applyFont="1" applyFill="1"/>
    <xf numFmtId="43" fontId="1" fillId="0" borderId="0" xfId="1" applyFont="1"/>
    <xf numFmtId="0" fontId="0" fillId="0" borderId="1" xfId="0" applyBorder="1"/>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2" xfId="0" applyFont="1" applyBorder="1" applyAlignment="1">
      <alignment horizontal="center" wrapText="1"/>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cellXfs>
  <cellStyles count="2">
    <cellStyle name="Comma" xfId="1" builtinId="3"/>
    <cellStyle name="Normal" xfId="0" builtinId="0"/>
  </cellStyles>
  <dxfs count="23">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20" formatCode="dd\-mmm\-yy"/>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20" formatCode="dd\-mmm\-yy"/>
    </dxf>
    <dxf>
      <font>
        <strike val="0"/>
        <outline val="0"/>
        <shadow val="0"/>
        <u val="none"/>
        <vertAlign val="baseline"/>
        <sz val="10"/>
        <color theme="1"/>
        <name val="Calibri"/>
        <family val="2"/>
        <scheme val="minor"/>
      </font>
      <numFmt numFmtId="20" formatCode="dd\-mmm\-yy"/>
    </dxf>
    <dxf>
      <font>
        <strike val="0"/>
        <outline val="0"/>
        <shadow val="0"/>
        <u val="none"/>
        <vertAlign val="baseline"/>
        <sz val="10"/>
        <color theme="1"/>
        <name val="Calibri"/>
        <family val="2"/>
        <scheme val="minor"/>
      </font>
      <numFmt numFmtId="20" formatCode="dd\-mmm\-yy"/>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s>
  <tableStyles count="0" defaultTableStyle="TableStyleMedium2" defaultPivotStyle="PivotStyleLight16"/>
  <colors>
    <mruColors>
      <color rgb="FFD1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50E1F-1F2C-4418-9EC8-0B7F11FC9345}" name="Table1" displayName="Table1" ref="A1:U11" totalsRowShown="0" headerRowDxfId="22" dataDxfId="21">
  <autoFilter ref="A1:U11" xr:uid="{83D50E1F-1F2C-4418-9EC8-0B7F11FC9345}"/>
  <tableColumns count="21">
    <tableColumn id="1" xr3:uid="{1684FA1E-4093-47C7-B7B9-5E2F0DE904E5}" name="Date Booked" dataDxfId="20"/>
    <tableColumn id="2" xr3:uid="{3FA09E0C-A867-4C2F-8816-33AF77A9C491}" name="Date Of Departure" dataDxfId="19"/>
    <tableColumn id="3" xr3:uid="{295EC93B-433F-45F8-A1C1-8F6F971005B3}" name="Date Of Return" dataDxfId="18"/>
    <tableColumn id="4" xr3:uid="{B0F701E1-EA5C-4337-9266-5D94225E0229}" name="Week Of Year" dataDxfId="17"/>
    <tableColumn id="5" xr3:uid="{8748ECA7-3F01-47D9-8C18-FEF11BAFC46A}" name="Travel Duration (Days)" dataDxfId="16">
      <calculatedColumnFormula>Table1[[#This Row],[Date Of Return]]-Table1[[#This Row],[Date Of Departure]]+1</calculatedColumnFormula>
    </tableColumn>
    <tableColumn id="6" xr3:uid="{070711B0-47A7-47CE-B471-BB73F4F7FAA2}" name="Travel Reference" dataDxfId="15"/>
    <tableColumn id="7" xr3:uid="{DE33DDDA-C4B9-416E-8313-8D6249876553}" name="Traveller" dataDxfId="14"/>
    <tableColumn id="8" xr3:uid="{542D11C7-4953-4429-933F-706DF24F8C10}" name="Company" dataDxfId="13"/>
    <tableColumn id="9" xr3:uid="{90036549-0469-43DE-AC2B-9405570C483C}" name="Department" dataDxfId="12"/>
    <tableColumn id="10" xr3:uid="{2C8978AF-2853-4B06-89C8-7CFB8876506E}" name="Job Title" dataDxfId="11"/>
    <tableColumn id="11" xr3:uid="{7914EF3A-41A4-4369-BCCF-C84E9B6D7202}" name="Internal / External" dataDxfId="10"/>
    <tableColumn id="12" xr3:uid="{02D73CDD-1203-4398-811C-22934765192D}" name="Mode of Transport" dataDxfId="9"/>
    <tableColumn id="13" xr3:uid="{9CB5699D-708E-4FAF-A303-62C275115653}" name="Trip Type" dataDxfId="8"/>
    <tableColumn id="14" xr3:uid="{58D603CA-3412-4BA4-9FA1-AC6E8D152BD6}" name="Travel Type" dataDxfId="7"/>
    <tableColumn id="15" xr3:uid="{07C29477-AAF7-4355-8F49-0AA659A8F7C1}" name="Reason For Travel" dataDxfId="6"/>
    <tableColumn id="16" xr3:uid="{8E8D054B-827D-4998-B20C-9CD681BDB22D}" name="From" dataDxfId="5"/>
    <tableColumn id="17" xr3:uid="{FB3B15C1-0F92-4ED9-AA9F-22E42B4FB323}" name="To" dataDxfId="4"/>
    <tableColumn id="18" xr3:uid="{E3673C07-3399-42F2-9A0A-D3C8830F4390}" name="Approved By" dataDxfId="3"/>
    <tableColumn id="19" xr3:uid="{8CA2CE71-2F3F-409E-988A-85132218862E}" name="Approval Date" dataDxfId="2"/>
    <tableColumn id="20" xr3:uid="{3103E268-3ACE-486F-8C7B-9B3CBB5B7E21}" name="Amount (R)" dataDxfId="1" dataCellStyle="Comma"/>
    <tableColumn id="21" xr3:uid="{AF560F07-996C-4BA2-A075-80355FA404D0}" name="Billing Compan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showGridLines="0" tabSelected="1" workbookViewId="0"/>
  </sheetViews>
  <sheetFormatPr defaultColWidth="49.44140625" defaultRowHeight="13.8" x14ac:dyDescent="0.3"/>
  <cols>
    <col min="1" max="1" width="24.44140625" style="1" bestFit="1" customWidth="1"/>
    <col min="2" max="2" width="31.77734375" style="1" bestFit="1" customWidth="1"/>
    <col min="3" max="3" width="9.109375" style="1" bestFit="1" customWidth="1"/>
    <col min="4" max="4" width="21.77734375" style="1" bestFit="1" customWidth="1"/>
    <col min="5" max="5" width="69.88671875" style="1" customWidth="1"/>
    <col min="6" max="16384" width="49.44140625" style="1"/>
  </cols>
  <sheetData>
    <row r="1" spans="1:7" ht="13.8" customHeight="1" x14ac:dyDescent="0.3">
      <c r="A1" s="2" t="s">
        <v>0</v>
      </c>
      <c r="B1" s="2" t="s">
        <v>1</v>
      </c>
      <c r="C1" s="2" t="s">
        <v>2</v>
      </c>
      <c r="D1" s="2" t="s">
        <v>3</v>
      </c>
      <c r="E1" s="2" t="s">
        <v>107</v>
      </c>
      <c r="F1" s="30" t="s">
        <v>129</v>
      </c>
      <c r="G1" s="31"/>
    </row>
    <row r="2" spans="1:7" x14ac:dyDescent="0.3">
      <c r="A2" s="11" t="b">
        <v>0</v>
      </c>
      <c r="B2" s="3" t="s">
        <v>4</v>
      </c>
      <c r="C2" s="3" t="s">
        <v>5</v>
      </c>
      <c r="D2" s="3" t="s">
        <v>6</v>
      </c>
      <c r="E2" s="3"/>
      <c r="F2" s="32"/>
      <c r="G2" s="33"/>
    </row>
    <row r="3" spans="1:7" x14ac:dyDescent="0.3">
      <c r="A3" s="11" t="b">
        <v>0</v>
      </c>
      <c r="B3" s="3" t="s">
        <v>7</v>
      </c>
      <c r="C3" s="3" t="s">
        <v>5</v>
      </c>
      <c r="D3" s="3" t="s">
        <v>6</v>
      </c>
      <c r="E3" s="3"/>
      <c r="F3" s="32"/>
      <c r="G3" s="33"/>
    </row>
    <row r="4" spans="1:7" x14ac:dyDescent="0.3">
      <c r="A4" s="11" t="b">
        <v>0</v>
      </c>
      <c r="B4" s="3" t="s">
        <v>8</v>
      </c>
      <c r="C4" s="3" t="s">
        <v>5</v>
      </c>
      <c r="D4" s="3" t="s">
        <v>6</v>
      </c>
      <c r="E4" s="3"/>
      <c r="F4" s="32"/>
      <c r="G4" s="33"/>
    </row>
    <row r="5" spans="1:7" x14ac:dyDescent="0.3">
      <c r="A5" s="15" t="b">
        <v>0</v>
      </c>
      <c r="B5" s="3" t="s">
        <v>10</v>
      </c>
      <c r="C5" s="3" t="s">
        <v>9</v>
      </c>
      <c r="D5" s="12" t="s">
        <v>108</v>
      </c>
      <c r="E5" s="12" t="s">
        <v>111</v>
      </c>
      <c r="F5" s="32"/>
      <c r="G5" s="33"/>
    </row>
    <row r="6" spans="1:7" x14ac:dyDescent="0.3">
      <c r="A6" s="15" t="b">
        <v>0</v>
      </c>
      <c r="B6" s="3" t="s">
        <v>11</v>
      </c>
      <c r="C6" s="3" t="s">
        <v>9</v>
      </c>
      <c r="D6" s="12" t="s">
        <v>108</v>
      </c>
      <c r="E6" s="12" t="s">
        <v>112</v>
      </c>
      <c r="F6" s="34"/>
      <c r="G6" s="35"/>
    </row>
    <row r="8" spans="1:7" x14ac:dyDescent="0.3">
      <c r="A8" s="4" t="s">
        <v>12</v>
      </c>
      <c r="B8" s="4" t="s">
        <v>1</v>
      </c>
      <c r="C8" s="4" t="s">
        <v>2</v>
      </c>
      <c r="D8" s="4" t="s">
        <v>3</v>
      </c>
      <c r="E8" s="4" t="s">
        <v>107</v>
      </c>
    </row>
    <row r="9" spans="1:7" x14ac:dyDescent="0.3">
      <c r="A9" s="14" t="b">
        <v>0</v>
      </c>
      <c r="B9" s="3" t="s">
        <v>13</v>
      </c>
      <c r="C9" s="3" t="s">
        <v>102</v>
      </c>
      <c r="D9" s="12" t="s">
        <v>108</v>
      </c>
      <c r="E9" s="3" t="s">
        <v>113</v>
      </c>
    </row>
    <row r="11" spans="1:7" x14ac:dyDescent="0.3">
      <c r="A11" s="5" t="s">
        <v>14</v>
      </c>
      <c r="B11" s="5" t="s">
        <v>1</v>
      </c>
      <c r="C11" s="5" t="s">
        <v>2</v>
      </c>
      <c r="D11" s="5" t="s">
        <v>3</v>
      </c>
      <c r="E11" s="5" t="s">
        <v>107</v>
      </c>
    </row>
    <row r="12" spans="1:7" x14ac:dyDescent="0.3">
      <c r="A12" s="11" t="b">
        <v>0</v>
      </c>
      <c r="B12" s="3" t="s">
        <v>15</v>
      </c>
      <c r="C12" s="3" t="s">
        <v>102</v>
      </c>
      <c r="D12" s="3" t="s">
        <v>6</v>
      </c>
      <c r="E12" s="3"/>
    </row>
    <row r="13" spans="1:7" x14ac:dyDescent="0.3">
      <c r="A13" s="14" t="b">
        <v>0</v>
      </c>
      <c r="B13" s="3" t="s">
        <v>16</v>
      </c>
      <c r="C13" s="3" t="s">
        <v>20</v>
      </c>
      <c r="D13" s="16" t="s">
        <v>109</v>
      </c>
      <c r="E13" s="3" t="s">
        <v>126</v>
      </c>
    </row>
    <row r="14" spans="1:7" x14ac:dyDescent="0.3">
      <c r="A14" s="11" t="b">
        <v>0</v>
      </c>
      <c r="B14" s="3" t="s">
        <v>106</v>
      </c>
      <c r="C14" s="3" t="s">
        <v>20</v>
      </c>
      <c r="D14" s="3" t="s">
        <v>6</v>
      </c>
      <c r="E14" s="3"/>
    </row>
    <row r="15" spans="1:7" x14ac:dyDescent="0.3">
      <c r="A15" s="11" t="b">
        <v>0</v>
      </c>
      <c r="B15" s="3" t="s">
        <v>18</v>
      </c>
      <c r="C15" s="3" t="s">
        <v>102</v>
      </c>
      <c r="D15" s="3" t="s">
        <v>6</v>
      </c>
      <c r="E15" s="3"/>
    </row>
    <row r="16" spans="1:7" x14ac:dyDescent="0.3">
      <c r="A16" s="14" t="b">
        <v>0</v>
      </c>
      <c r="B16" s="3" t="s">
        <v>19</v>
      </c>
      <c r="C16" s="3" t="s">
        <v>20</v>
      </c>
      <c r="D16" s="12" t="s">
        <v>108</v>
      </c>
      <c r="E16" s="3"/>
    </row>
    <row r="18" spans="1:5" x14ac:dyDescent="0.3">
      <c r="A18" s="6" t="s">
        <v>104</v>
      </c>
      <c r="B18" s="6" t="s">
        <v>1</v>
      </c>
      <c r="C18" s="6" t="s">
        <v>2</v>
      </c>
      <c r="D18" s="6" t="s">
        <v>3</v>
      </c>
      <c r="E18" s="6" t="s">
        <v>107</v>
      </c>
    </row>
    <row r="19" spans="1:5" x14ac:dyDescent="0.3">
      <c r="A19" s="11" t="b">
        <v>0</v>
      </c>
      <c r="B19" s="3" t="s">
        <v>105</v>
      </c>
      <c r="C19" s="3" t="s">
        <v>20</v>
      </c>
      <c r="D19" s="3" t="s">
        <v>6</v>
      </c>
      <c r="E19" s="3"/>
    </row>
    <row r="20" spans="1:5" x14ac:dyDescent="0.3">
      <c r="A20" s="14" t="b">
        <v>0</v>
      </c>
      <c r="B20" s="3" t="s">
        <v>110</v>
      </c>
      <c r="C20" s="3" t="s">
        <v>20</v>
      </c>
      <c r="D20" s="12" t="s">
        <v>108</v>
      </c>
      <c r="E20" s="3" t="s">
        <v>22</v>
      </c>
    </row>
    <row r="21" spans="1:5" x14ac:dyDescent="0.3">
      <c r="A21" s="11" t="b">
        <v>0</v>
      </c>
      <c r="B21" s="3" t="s">
        <v>21</v>
      </c>
      <c r="C21" s="3" t="s">
        <v>20</v>
      </c>
      <c r="D21" s="3" t="s">
        <v>6</v>
      </c>
      <c r="E21" s="3" t="s">
        <v>23</v>
      </c>
    </row>
    <row r="22" spans="1:5" x14ac:dyDescent="0.3">
      <c r="A22" s="11" t="b">
        <v>0</v>
      </c>
      <c r="B22" s="3" t="s">
        <v>24</v>
      </c>
      <c r="C22" s="3" t="s">
        <v>102</v>
      </c>
      <c r="D22" s="3" t="s">
        <v>6</v>
      </c>
      <c r="E22" s="3"/>
    </row>
    <row r="24" spans="1:5" x14ac:dyDescent="0.3">
      <c r="A24" s="7" t="s">
        <v>25</v>
      </c>
      <c r="B24" s="7" t="s">
        <v>1</v>
      </c>
      <c r="C24" s="7" t="s">
        <v>2</v>
      </c>
      <c r="D24" s="7" t="s">
        <v>3</v>
      </c>
      <c r="E24" s="7" t="s">
        <v>107</v>
      </c>
    </row>
    <row r="25" spans="1:5" x14ac:dyDescent="0.3">
      <c r="A25" s="20" t="b">
        <v>0</v>
      </c>
      <c r="B25" s="3" t="s">
        <v>26</v>
      </c>
      <c r="C25" s="3" t="s">
        <v>102</v>
      </c>
      <c r="D25" s="3" t="s">
        <v>6</v>
      </c>
      <c r="E25" s="28" t="s">
        <v>128</v>
      </c>
    </row>
    <row r="26" spans="1:5" x14ac:dyDescent="0.3">
      <c r="A26" s="20" t="b">
        <v>0</v>
      </c>
      <c r="B26" s="3" t="s">
        <v>27</v>
      </c>
      <c r="C26" s="3" t="s">
        <v>102</v>
      </c>
      <c r="D26" s="3" t="s">
        <v>6</v>
      </c>
      <c r="E26" s="29"/>
    </row>
    <row r="28" spans="1:5" x14ac:dyDescent="0.3">
      <c r="A28" s="8" t="s">
        <v>28</v>
      </c>
      <c r="B28" s="8" t="s">
        <v>1</v>
      </c>
      <c r="C28" s="8" t="s">
        <v>2</v>
      </c>
      <c r="D28" s="8" t="s">
        <v>3</v>
      </c>
      <c r="E28" s="8" t="s">
        <v>107</v>
      </c>
    </row>
    <row r="29" spans="1:5" x14ac:dyDescent="0.3">
      <c r="A29" s="11" t="b">
        <v>0</v>
      </c>
      <c r="B29" s="3" t="s">
        <v>29</v>
      </c>
      <c r="C29" s="3" t="s">
        <v>102</v>
      </c>
      <c r="D29" s="3" t="s">
        <v>6</v>
      </c>
      <c r="E29" s="12"/>
    </row>
    <row r="30" spans="1:5" x14ac:dyDescent="0.3">
      <c r="A30" s="17" t="b">
        <v>0</v>
      </c>
      <c r="B30" s="18" t="s">
        <v>30</v>
      </c>
      <c r="C30" s="18" t="s">
        <v>5</v>
      </c>
      <c r="D30" s="18" t="s">
        <v>114</v>
      </c>
      <c r="E30" s="19" t="s">
        <v>115</v>
      </c>
    </row>
    <row r="31" spans="1:5" x14ac:dyDescent="0.3">
      <c r="B31" s="9"/>
      <c r="C31" s="9"/>
      <c r="D31" s="9"/>
      <c r="E31" s="9"/>
    </row>
    <row r="32" spans="1:5" x14ac:dyDescent="0.3">
      <c r="A32" s="10" t="s">
        <v>31</v>
      </c>
      <c r="B32" s="10" t="s">
        <v>1</v>
      </c>
      <c r="C32" s="10" t="s">
        <v>2</v>
      </c>
      <c r="D32" s="10" t="s">
        <v>3</v>
      </c>
      <c r="E32" s="21" t="s">
        <v>107</v>
      </c>
    </row>
    <row r="33" spans="1:5" x14ac:dyDescent="0.3">
      <c r="A33" s="11" t="b">
        <v>0</v>
      </c>
      <c r="B33" s="3" t="s">
        <v>32</v>
      </c>
      <c r="C33" s="3" t="s">
        <v>103</v>
      </c>
      <c r="D33" s="3" t="s">
        <v>6</v>
      </c>
      <c r="E33" s="3"/>
    </row>
    <row r="34" spans="1:5" x14ac:dyDescent="0.3">
      <c r="A34" s="11" t="b">
        <v>0</v>
      </c>
      <c r="B34" s="3" t="s">
        <v>33</v>
      </c>
      <c r="C34" s="3" t="s">
        <v>20</v>
      </c>
      <c r="D34" s="3" t="s">
        <v>6</v>
      </c>
      <c r="E34" s="3"/>
    </row>
  </sheetData>
  <mergeCells count="2">
    <mergeCell ref="E25:E26"/>
    <mergeCell ref="F1:G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BC58-4602-4CE5-A71E-D2F8DA8A21D9}">
  <dimension ref="A1:B19"/>
  <sheetViews>
    <sheetView showGridLines="0" workbookViewId="0"/>
  </sheetViews>
  <sheetFormatPr defaultRowHeight="14.4" x14ac:dyDescent="0.3"/>
  <cols>
    <col min="1" max="1" width="25.6640625" bestFit="1" customWidth="1"/>
    <col min="2" max="2" width="9.6640625" bestFit="1" customWidth="1"/>
  </cols>
  <sheetData>
    <row r="1" spans="1:2" x14ac:dyDescent="0.3">
      <c r="A1" s="2" t="s">
        <v>16</v>
      </c>
      <c r="B1" s="2" t="s">
        <v>127</v>
      </c>
    </row>
    <row r="2" spans="1:2" x14ac:dyDescent="0.3">
      <c r="A2" s="27" t="s">
        <v>124</v>
      </c>
      <c r="B2" s="11" t="b">
        <v>0</v>
      </c>
    </row>
    <row r="3" spans="1:2" x14ac:dyDescent="0.3">
      <c r="A3" s="27" t="s">
        <v>125</v>
      </c>
      <c r="B3" s="11" t="b">
        <v>0</v>
      </c>
    </row>
    <row r="4" spans="1:2" x14ac:dyDescent="0.3">
      <c r="A4" s="27" t="s">
        <v>120</v>
      </c>
      <c r="B4" s="11" t="b">
        <v>0</v>
      </c>
    </row>
    <row r="5" spans="1:2" x14ac:dyDescent="0.3">
      <c r="A5" s="27" t="s">
        <v>118</v>
      </c>
      <c r="B5" s="11" t="b">
        <v>0</v>
      </c>
    </row>
    <row r="6" spans="1:2" x14ac:dyDescent="0.3">
      <c r="A6" s="27" t="s">
        <v>116</v>
      </c>
      <c r="B6" s="11" t="b">
        <v>0</v>
      </c>
    </row>
    <row r="7" spans="1:2" x14ac:dyDescent="0.3">
      <c r="A7" s="27" t="s">
        <v>119</v>
      </c>
      <c r="B7" s="11" t="b">
        <v>0</v>
      </c>
    </row>
    <row r="8" spans="1:2" x14ac:dyDescent="0.3">
      <c r="A8" s="27" t="s">
        <v>122</v>
      </c>
      <c r="B8" s="11" t="b">
        <v>0</v>
      </c>
    </row>
    <row r="9" spans="1:2" x14ac:dyDescent="0.3">
      <c r="A9" s="27" t="s">
        <v>117</v>
      </c>
      <c r="B9" s="11" t="b">
        <v>0</v>
      </c>
    </row>
    <row r="10" spans="1:2" x14ac:dyDescent="0.3">
      <c r="A10" s="27" t="s">
        <v>123</v>
      </c>
      <c r="B10" s="11" t="b">
        <v>0</v>
      </c>
    </row>
    <row r="11" spans="1:2" x14ac:dyDescent="0.3">
      <c r="A11" s="27" t="s">
        <v>121</v>
      </c>
      <c r="B11" s="11" t="b">
        <v>0</v>
      </c>
    </row>
    <row r="13" spans="1:2" x14ac:dyDescent="0.3">
      <c r="A13" s="5" t="s">
        <v>19</v>
      </c>
      <c r="B13" s="5" t="s">
        <v>127</v>
      </c>
    </row>
    <row r="14" spans="1:2" x14ac:dyDescent="0.3">
      <c r="A14" s="27" t="s">
        <v>37</v>
      </c>
      <c r="B14" s="11" t="b">
        <v>0</v>
      </c>
    </row>
    <row r="15" spans="1:2" x14ac:dyDescent="0.3">
      <c r="A15" s="27" t="s">
        <v>38</v>
      </c>
      <c r="B15" s="11" t="b">
        <v>0</v>
      </c>
    </row>
    <row r="17" spans="1:2" x14ac:dyDescent="0.3">
      <c r="A17" s="6" t="s">
        <v>110</v>
      </c>
      <c r="B17" s="6" t="s">
        <v>127</v>
      </c>
    </row>
    <row r="18" spans="1:2" x14ac:dyDescent="0.3">
      <c r="A18" s="27" t="s">
        <v>39</v>
      </c>
      <c r="B18" s="11" t="b">
        <v>0</v>
      </c>
    </row>
    <row r="19" spans="1:2" x14ac:dyDescent="0.3">
      <c r="A19" s="27" t="s">
        <v>40</v>
      </c>
      <c r="B19" s="11" t="b">
        <v>0</v>
      </c>
    </row>
  </sheetData>
  <autoFilter ref="A1:A11" xr:uid="{C2C0BC58-4602-4CE5-A71E-D2F8DA8A21D9}">
    <sortState xmlns:xlrd2="http://schemas.microsoft.com/office/spreadsheetml/2017/richdata2" ref="A2:A11">
      <sortCondition ref="A1:A1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CD107-46F8-4009-9584-7CE3E38FE697}">
  <dimension ref="A1:U11"/>
  <sheetViews>
    <sheetView showGridLines="0" workbookViewId="0"/>
  </sheetViews>
  <sheetFormatPr defaultRowHeight="13.8" x14ac:dyDescent="0.3"/>
  <cols>
    <col min="1" max="1" width="13.44140625" style="1" bestFit="1" customWidth="1"/>
    <col min="2" max="2" width="18" style="1" bestFit="1" customWidth="1"/>
    <col min="3" max="3" width="15.33203125" style="1" bestFit="1" customWidth="1"/>
    <col min="4" max="4" width="14.109375" style="1" bestFit="1" customWidth="1"/>
    <col min="5" max="5" width="20.88671875" style="1" bestFit="1" customWidth="1"/>
    <col min="6" max="6" width="16.6640625" style="1" bestFit="1" customWidth="1"/>
    <col min="7" max="7" width="14.21875" style="1" bestFit="1" customWidth="1"/>
    <col min="8" max="8" width="12.6640625" style="1" bestFit="1" customWidth="1"/>
    <col min="9" max="9" width="12.88671875" style="1" bestFit="1" customWidth="1"/>
    <col min="10" max="10" width="16.77734375" style="1" bestFit="1" customWidth="1"/>
    <col min="11" max="11" width="17.6640625" style="1" bestFit="1" customWidth="1"/>
    <col min="12" max="12" width="18" style="1" bestFit="1" customWidth="1"/>
    <col min="13" max="13" width="10.44140625" style="1" bestFit="1" customWidth="1"/>
    <col min="14" max="14" width="12.21875" style="1" bestFit="1" customWidth="1"/>
    <col min="15" max="15" width="17.33203125" style="1" bestFit="1" customWidth="1"/>
    <col min="16" max="16" width="7.33203125" style="1" bestFit="1" customWidth="1"/>
    <col min="17" max="17" width="5.109375" style="1" bestFit="1" customWidth="1"/>
    <col min="18" max="18" width="13.33203125" style="1" bestFit="1" customWidth="1"/>
    <col min="19" max="19" width="14.44140625" style="1" bestFit="1" customWidth="1"/>
    <col min="20" max="20" width="12.21875" style="26" bestFit="1" customWidth="1"/>
    <col min="21" max="21" width="15.88671875" style="1" bestFit="1" customWidth="1"/>
    <col min="22" max="16384" width="8.88671875" style="1"/>
  </cols>
  <sheetData>
    <row r="1" spans="1:21" x14ac:dyDescent="0.3">
      <c r="A1" s="1" t="s">
        <v>4</v>
      </c>
      <c r="B1" s="1" t="s">
        <v>7</v>
      </c>
      <c r="C1" s="1" t="s">
        <v>8</v>
      </c>
      <c r="D1" s="24" t="s">
        <v>10</v>
      </c>
      <c r="E1" s="24" t="s">
        <v>11</v>
      </c>
      <c r="F1" s="23" t="s">
        <v>13</v>
      </c>
      <c r="G1" s="1" t="s">
        <v>44</v>
      </c>
      <c r="H1" s="23" t="s">
        <v>16</v>
      </c>
      <c r="I1" s="1" t="s">
        <v>17</v>
      </c>
      <c r="J1" s="1" t="s">
        <v>18</v>
      </c>
      <c r="K1" s="23" t="s">
        <v>19</v>
      </c>
      <c r="L1" s="3" t="s">
        <v>105</v>
      </c>
      <c r="M1" s="23" t="s">
        <v>110</v>
      </c>
      <c r="N1" s="1" t="s">
        <v>21</v>
      </c>
      <c r="O1" s="1" t="s">
        <v>24</v>
      </c>
      <c r="P1" s="25" t="s">
        <v>26</v>
      </c>
      <c r="Q1" s="25" t="s">
        <v>27</v>
      </c>
      <c r="R1" s="1" t="s">
        <v>29</v>
      </c>
      <c r="S1" s="22" t="s">
        <v>30</v>
      </c>
      <c r="T1" s="26" t="s">
        <v>45</v>
      </c>
      <c r="U1" s="1" t="s">
        <v>33</v>
      </c>
    </row>
    <row r="2" spans="1:21" x14ac:dyDescent="0.3">
      <c r="A2" s="13">
        <v>45413</v>
      </c>
      <c r="B2" s="13">
        <v>45417</v>
      </c>
      <c r="C2" s="13">
        <v>45420</v>
      </c>
      <c r="D2" s="1">
        <v>19</v>
      </c>
      <c r="E2" s="1">
        <f>Table1[[#This Row],[Date Of Return]]-Table1[[#This Row],[Date Of Departure]]+1</f>
        <v>4</v>
      </c>
      <c r="F2" s="1" t="s">
        <v>46</v>
      </c>
      <c r="G2" s="1" t="s">
        <v>47</v>
      </c>
      <c r="H2" s="1" t="s">
        <v>48</v>
      </c>
      <c r="I2" s="1" t="s">
        <v>42</v>
      </c>
      <c r="J2" s="1" t="s">
        <v>49</v>
      </c>
      <c r="K2" s="1" t="s">
        <v>37</v>
      </c>
      <c r="L2" s="1" t="s">
        <v>34</v>
      </c>
      <c r="M2" s="1" t="s">
        <v>40</v>
      </c>
      <c r="N2" s="1" t="s">
        <v>50</v>
      </c>
      <c r="O2" s="1" t="s">
        <v>51</v>
      </c>
      <c r="P2" s="1" t="s">
        <v>52</v>
      </c>
      <c r="Q2" s="1" t="s">
        <v>53</v>
      </c>
      <c r="R2" s="1" t="s">
        <v>54</v>
      </c>
      <c r="S2" s="13">
        <v>45413</v>
      </c>
      <c r="T2" s="26">
        <v>6450</v>
      </c>
      <c r="U2" s="1" t="s">
        <v>48</v>
      </c>
    </row>
    <row r="3" spans="1:21" x14ac:dyDescent="0.3">
      <c r="A3" s="13">
        <v>45413</v>
      </c>
      <c r="B3" s="13">
        <v>45418</v>
      </c>
      <c r="C3" s="13">
        <v>45418</v>
      </c>
      <c r="D3" s="1">
        <v>19</v>
      </c>
      <c r="E3" s="1">
        <f>Table1[[#This Row],[Date Of Return]]-Table1[[#This Row],[Date Of Departure]]+1</f>
        <v>1</v>
      </c>
      <c r="F3" s="1" t="s">
        <v>55</v>
      </c>
      <c r="G3" s="1" t="s">
        <v>56</v>
      </c>
      <c r="H3" s="1" t="s">
        <v>57</v>
      </c>
      <c r="I3" s="1" t="s">
        <v>43</v>
      </c>
      <c r="J3" s="1" t="s">
        <v>58</v>
      </c>
      <c r="K3" s="1" t="s">
        <v>37</v>
      </c>
      <c r="L3" s="1" t="s">
        <v>36</v>
      </c>
      <c r="M3" s="1" t="s">
        <v>39</v>
      </c>
      <c r="N3" s="1" t="s">
        <v>50</v>
      </c>
      <c r="O3" s="1" t="s">
        <v>59</v>
      </c>
      <c r="P3" s="1" t="s">
        <v>52</v>
      </c>
      <c r="Q3" s="1" t="s">
        <v>60</v>
      </c>
      <c r="R3" s="1" t="s">
        <v>61</v>
      </c>
      <c r="S3" s="13">
        <v>45413</v>
      </c>
      <c r="T3" s="26">
        <v>1250</v>
      </c>
      <c r="U3" s="1" t="s">
        <v>57</v>
      </c>
    </row>
    <row r="4" spans="1:21" x14ac:dyDescent="0.3">
      <c r="A4" s="13">
        <v>45414</v>
      </c>
      <c r="B4" s="13">
        <v>45422</v>
      </c>
      <c r="C4" s="13">
        <v>45424</v>
      </c>
      <c r="D4" s="1">
        <v>19</v>
      </c>
      <c r="E4" s="1">
        <f>Table1[[#This Row],[Date Of Return]]-Table1[[#This Row],[Date Of Departure]]+1</f>
        <v>3</v>
      </c>
      <c r="F4" s="1" t="s">
        <v>62</v>
      </c>
      <c r="G4" s="1" t="s">
        <v>63</v>
      </c>
      <c r="H4" s="1" t="s">
        <v>48</v>
      </c>
      <c r="I4" s="1" t="s">
        <v>64</v>
      </c>
      <c r="J4" s="1" t="s">
        <v>65</v>
      </c>
      <c r="K4" s="1" t="s">
        <v>38</v>
      </c>
      <c r="L4" s="1" t="s">
        <v>35</v>
      </c>
      <c r="M4" s="1" t="s">
        <v>40</v>
      </c>
      <c r="N4" s="1" t="s">
        <v>50</v>
      </c>
      <c r="O4" s="1" t="s">
        <v>66</v>
      </c>
      <c r="P4" s="1" t="s">
        <v>53</v>
      </c>
      <c r="Q4" s="1" t="s">
        <v>53</v>
      </c>
      <c r="R4" s="1" t="s">
        <v>54</v>
      </c>
      <c r="S4" s="13">
        <v>45414</v>
      </c>
      <c r="T4" s="26">
        <v>3800</v>
      </c>
      <c r="U4" s="1" t="s">
        <v>48</v>
      </c>
    </row>
    <row r="5" spans="1:21" x14ac:dyDescent="0.3">
      <c r="A5" s="13">
        <v>45415</v>
      </c>
      <c r="B5" s="13">
        <v>45424</v>
      </c>
      <c r="C5" s="13">
        <v>45427</v>
      </c>
      <c r="D5" s="1">
        <v>20</v>
      </c>
      <c r="E5" s="1">
        <f>Table1[[#This Row],[Date Of Return]]-Table1[[#This Row],[Date Of Departure]]+1</f>
        <v>4</v>
      </c>
      <c r="F5" s="1" t="s">
        <v>67</v>
      </c>
      <c r="G5" s="1" t="s">
        <v>68</v>
      </c>
      <c r="H5" s="1" t="s">
        <v>69</v>
      </c>
      <c r="I5" s="1" t="s">
        <v>70</v>
      </c>
      <c r="J5" s="1" t="s">
        <v>71</v>
      </c>
      <c r="K5" s="1" t="s">
        <v>37</v>
      </c>
      <c r="L5" s="1" t="s">
        <v>34</v>
      </c>
      <c r="M5" s="1" t="s">
        <v>40</v>
      </c>
      <c r="N5" s="1" t="s">
        <v>50</v>
      </c>
      <c r="O5" s="1" t="s">
        <v>72</v>
      </c>
      <c r="P5" s="1" t="s">
        <v>52</v>
      </c>
      <c r="Q5" s="1" t="s">
        <v>73</v>
      </c>
      <c r="R5" s="1" t="s">
        <v>74</v>
      </c>
      <c r="S5" s="13">
        <v>45415</v>
      </c>
      <c r="T5" s="26">
        <v>4780</v>
      </c>
      <c r="U5" s="1" t="s">
        <v>69</v>
      </c>
    </row>
    <row r="6" spans="1:21" x14ac:dyDescent="0.3">
      <c r="A6" s="13">
        <v>45415</v>
      </c>
      <c r="B6" s="13">
        <v>45426</v>
      </c>
      <c r="C6" s="13">
        <v>45426</v>
      </c>
      <c r="D6" s="1">
        <v>20</v>
      </c>
      <c r="E6" s="1">
        <f>Table1[[#This Row],[Date Of Return]]-Table1[[#This Row],[Date Of Departure]]+1</f>
        <v>1</v>
      </c>
      <c r="F6" s="1" t="s">
        <v>75</v>
      </c>
      <c r="G6" s="1" t="s">
        <v>76</v>
      </c>
      <c r="H6" s="1" t="s">
        <v>57</v>
      </c>
      <c r="I6" s="1" t="s">
        <v>43</v>
      </c>
      <c r="J6" s="1" t="s">
        <v>77</v>
      </c>
      <c r="K6" s="1" t="s">
        <v>37</v>
      </c>
      <c r="L6" s="1" t="s">
        <v>36</v>
      </c>
      <c r="M6" s="1" t="s">
        <v>39</v>
      </c>
      <c r="N6" s="1" t="s">
        <v>50</v>
      </c>
      <c r="O6" s="1" t="s">
        <v>59</v>
      </c>
      <c r="P6" s="1" t="s">
        <v>53</v>
      </c>
      <c r="Q6" s="1" t="s">
        <v>78</v>
      </c>
      <c r="R6" s="1" t="s">
        <v>61</v>
      </c>
      <c r="S6" s="13">
        <v>45415</v>
      </c>
      <c r="T6" s="26">
        <v>900</v>
      </c>
      <c r="U6" s="1" t="s">
        <v>57</v>
      </c>
    </row>
    <row r="7" spans="1:21" x14ac:dyDescent="0.3">
      <c r="A7" s="13">
        <v>45416</v>
      </c>
      <c r="B7" s="13">
        <v>45430</v>
      </c>
      <c r="C7" s="13">
        <v>45432</v>
      </c>
      <c r="D7" s="1">
        <v>20</v>
      </c>
      <c r="E7" s="1">
        <f>Table1[[#This Row],[Date Of Return]]-Table1[[#This Row],[Date Of Departure]]+1</f>
        <v>3</v>
      </c>
      <c r="F7" s="1" t="s">
        <v>79</v>
      </c>
      <c r="G7" s="1" t="s">
        <v>80</v>
      </c>
      <c r="H7" s="1" t="s">
        <v>48</v>
      </c>
      <c r="I7" s="1" t="s">
        <v>42</v>
      </c>
      <c r="J7" s="1" t="s">
        <v>81</v>
      </c>
      <c r="K7" s="1" t="s">
        <v>37</v>
      </c>
      <c r="L7" s="1" t="s">
        <v>34</v>
      </c>
      <c r="M7" s="1" t="s">
        <v>40</v>
      </c>
      <c r="N7" s="1" t="s">
        <v>82</v>
      </c>
      <c r="O7" s="1" t="s">
        <v>51</v>
      </c>
      <c r="P7" s="1" t="s">
        <v>52</v>
      </c>
      <c r="Q7" s="1" t="s">
        <v>83</v>
      </c>
      <c r="R7" s="1" t="s">
        <v>54</v>
      </c>
      <c r="S7" s="13">
        <v>45416</v>
      </c>
      <c r="T7" s="26">
        <v>18650</v>
      </c>
      <c r="U7" s="1" t="s">
        <v>48</v>
      </c>
    </row>
    <row r="8" spans="1:21" x14ac:dyDescent="0.3">
      <c r="A8" s="13">
        <v>45417</v>
      </c>
      <c r="B8" s="13">
        <v>45432</v>
      </c>
      <c r="C8" s="13">
        <v>45434</v>
      </c>
      <c r="D8" s="1">
        <v>21</v>
      </c>
      <c r="E8" s="1">
        <f>Table1[[#This Row],[Date Of Return]]-Table1[[#This Row],[Date Of Departure]]+1</f>
        <v>3</v>
      </c>
      <c r="F8" s="1" t="s">
        <v>84</v>
      </c>
      <c r="G8" s="1" t="s">
        <v>85</v>
      </c>
      <c r="H8" s="1" t="s">
        <v>69</v>
      </c>
      <c r="I8" s="1" t="s">
        <v>64</v>
      </c>
      <c r="J8" s="1" t="s">
        <v>86</v>
      </c>
      <c r="K8" s="1" t="s">
        <v>37</v>
      </c>
      <c r="L8" s="1" t="s">
        <v>34</v>
      </c>
      <c r="M8" s="1" t="s">
        <v>40</v>
      </c>
      <c r="N8" s="1" t="s">
        <v>50</v>
      </c>
      <c r="O8" s="1" t="s">
        <v>87</v>
      </c>
      <c r="P8" s="1" t="s">
        <v>52</v>
      </c>
      <c r="Q8" s="1" t="s">
        <v>88</v>
      </c>
      <c r="R8" s="1" t="s">
        <v>74</v>
      </c>
      <c r="S8" s="13">
        <v>45417</v>
      </c>
      <c r="T8" s="26">
        <v>5210</v>
      </c>
      <c r="U8" s="1" t="s">
        <v>69</v>
      </c>
    </row>
    <row r="9" spans="1:21" x14ac:dyDescent="0.3">
      <c r="A9" s="13">
        <v>45418</v>
      </c>
      <c r="B9" s="13">
        <v>45437</v>
      </c>
      <c r="C9" s="13">
        <v>45440</v>
      </c>
      <c r="D9" s="1">
        <v>21</v>
      </c>
      <c r="E9" s="1">
        <f>Table1[[#This Row],[Date Of Return]]-Table1[[#This Row],[Date Of Departure]]+1</f>
        <v>4</v>
      </c>
      <c r="F9" s="1" t="s">
        <v>89</v>
      </c>
      <c r="G9" s="1" t="s">
        <v>90</v>
      </c>
      <c r="H9" s="1" t="s">
        <v>57</v>
      </c>
      <c r="I9" s="1" t="s">
        <v>41</v>
      </c>
      <c r="J9" s="1" t="s">
        <v>91</v>
      </c>
      <c r="K9" s="1" t="s">
        <v>38</v>
      </c>
      <c r="L9" s="1" t="s">
        <v>34</v>
      </c>
      <c r="M9" s="1" t="s">
        <v>40</v>
      </c>
      <c r="N9" s="1" t="s">
        <v>82</v>
      </c>
      <c r="O9" s="1" t="s">
        <v>66</v>
      </c>
      <c r="P9" s="1" t="s">
        <v>53</v>
      </c>
      <c r="Q9" s="1" t="s">
        <v>92</v>
      </c>
      <c r="R9" s="1" t="s">
        <v>61</v>
      </c>
      <c r="S9" s="13">
        <v>45418</v>
      </c>
      <c r="T9" s="26">
        <v>16240</v>
      </c>
      <c r="U9" s="1" t="s">
        <v>57</v>
      </c>
    </row>
    <row r="10" spans="1:21" x14ac:dyDescent="0.3">
      <c r="A10" s="13">
        <v>45419</v>
      </c>
      <c r="B10" s="13">
        <v>45439</v>
      </c>
      <c r="C10" s="13">
        <v>45439</v>
      </c>
      <c r="D10" s="1">
        <v>22</v>
      </c>
      <c r="E10" s="1">
        <f>Table1[[#This Row],[Date Of Return]]-Table1[[#This Row],[Date Of Departure]]+1</f>
        <v>1</v>
      </c>
      <c r="F10" s="1" t="s">
        <v>93</v>
      </c>
      <c r="G10" s="1" t="s">
        <v>94</v>
      </c>
      <c r="H10" s="1" t="s">
        <v>48</v>
      </c>
      <c r="I10" s="1" t="s">
        <v>95</v>
      </c>
      <c r="J10" s="1" t="s">
        <v>96</v>
      </c>
      <c r="K10" s="1" t="s">
        <v>37</v>
      </c>
      <c r="L10" s="1" t="s">
        <v>36</v>
      </c>
      <c r="M10" s="1" t="s">
        <v>39</v>
      </c>
      <c r="N10" s="1" t="s">
        <v>50</v>
      </c>
      <c r="O10" s="1" t="s">
        <v>97</v>
      </c>
      <c r="P10" s="1" t="s">
        <v>52</v>
      </c>
      <c r="Q10" s="1" t="s">
        <v>98</v>
      </c>
      <c r="R10" s="1" t="s">
        <v>54</v>
      </c>
      <c r="S10" s="13">
        <v>45419</v>
      </c>
      <c r="T10" s="26">
        <v>750</v>
      </c>
      <c r="U10" s="1" t="s">
        <v>48</v>
      </c>
    </row>
    <row r="11" spans="1:21" x14ac:dyDescent="0.3">
      <c r="A11" s="13">
        <v>45420</v>
      </c>
      <c r="B11" s="13">
        <v>45442</v>
      </c>
      <c r="C11" s="13">
        <v>45443</v>
      </c>
      <c r="D11" s="1">
        <v>22</v>
      </c>
      <c r="E11" s="1">
        <f>Table1[[#This Row],[Date Of Return]]-Table1[[#This Row],[Date Of Departure]]+1</f>
        <v>2</v>
      </c>
      <c r="F11" s="1" t="s">
        <v>99</v>
      </c>
      <c r="G11" s="1" t="s">
        <v>100</v>
      </c>
      <c r="H11" s="1" t="s">
        <v>69</v>
      </c>
      <c r="I11" s="1" t="s">
        <v>42</v>
      </c>
      <c r="J11" s="1" t="s">
        <v>101</v>
      </c>
      <c r="K11" s="1" t="s">
        <v>37</v>
      </c>
      <c r="L11" s="1" t="s">
        <v>35</v>
      </c>
      <c r="M11" s="1" t="s">
        <v>40</v>
      </c>
      <c r="N11" s="1" t="s">
        <v>50</v>
      </c>
      <c r="O11" s="1" t="s">
        <v>51</v>
      </c>
      <c r="P11" s="1" t="s">
        <v>53</v>
      </c>
      <c r="Q11" s="1" t="s">
        <v>53</v>
      </c>
      <c r="R11" s="1" t="s">
        <v>74</v>
      </c>
      <c r="S11" s="13">
        <v>45420</v>
      </c>
      <c r="T11" s="26">
        <v>2950</v>
      </c>
      <c r="U11" s="1" t="s">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04967B87E43548B484CA806BB6FC30" ma:contentTypeVersion="17" ma:contentTypeDescription="Create a new document." ma:contentTypeScope="" ma:versionID="16ff15bda811491b00692c32baa4fd3b">
  <xsd:schema xmlns:xsd="http://www.w3.org/2001/XMLSchema" xmlns:xs="http://www.w3.org/2001/XMLSchema" xmlns:p="http://schemas.microsoft.com/office/2006/metadata/properties" xmlns:ns2="0a1e28df-cf30-4b9c-bfdf-d691394ac018" xmlns:ns3="649e210f-8831-4297-886a-e2be1dbb4894" targetNamespace="http://schemas.microsoft.com/office/2006/metadata/properties" ma:root="true" ma:fieldsID="434777fd9dce599715df3dbb7741b96f" ns2:_="" ns3:_="">
    <xsd:import namespace="0a1e28df-cf30-4b9c-bfdf-d691394ac018"/>
    <xsd:import namespace="649e210f-8831-4297-886a-e2be1dbb489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ProjectRequester" minOccurs="0"/>
                <xsd:element ref="ns2:Department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1e28df-cf30-4b9c-bfdf-d691394ac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f7da0ea-71de-437e-b235-f9492b9275c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ProjectRequester" ma:index="22" nillable="true" ma:displayName="Project Requester" ma:description="The person who submited the BRD" ma:format="Dropdown" ma:list="UserInfo" ma:SharePointGroup="0" ma:internalName="ProjectReques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partmentName" ma:index="23" nillable="true" ma:displayName="Department Name" ma:format="Dropdown" ma:internalName="DepartmentName">
      <xsd:simpleType>
        <xsd:restriction base="dms:Text">
          <xsd:maxLength value="255"/>
        </xsd:restriction>
      </xsd:simpleType>
    </xsd:element>
    <xsd:element name="Notes" ma:index="24"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9e210f-8831-4297-886a-e2be1dbb489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c47f0390-e284-4a6f-ae7b-ec5978a1be2b}" ma:internalName="TaxCatchAll" ma:showField="CatchAllData" ma:web="649e210f-8831-4297-886a-e2be1dbb48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49e210f-8831-4297-886a-e2be1dbb4894" xsi:nil="true"/>
    <Notes xmlns="0a1e28df-cf30-4b9c-bfdf-d691394ac018" xsi:nil="true"/>
    <ProjectRequester xmlns="0a1e28df-cf30-4b9c-bfdf-d691394ac018">
      <UserInfo>
        <DisplayName/>
        <AccountId xsi:nil="true"/>
        <AccountType/>
      </UserInfo>
    </ProjectRequester>
    <DepartmentName xmlns="0a1e28df-cf30-4b9c-bfdf-d691394ac018" xsi:nil="true"/>
    <lcf76f155ced4ddcb4097134ff3c332f xmlns="0a1e28df-cf30-4b9c-bfdf-d691394ac0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A9DE9C-585E-451C-8169-7F73010FDB41}"/>
</file>

<file path=customXml/itemProps2.xml><?xml version="1.0" encoding="utf-8"?>
<ds:datastoreItem xmlns:ds="http://schemas.openxmlformats.org/officeDocument/2006/customXml" ds:itemID="{76DE3F1A-8259-4276-B004-B9EE7C10D5BF}"/>
</file>

<file path=customXml/itemProps3.xml><?xml version="1.0" encoding="utf-8"?>
<ds:datastoreItem xmlns:ds="http://schemas.openxmlformats.org/officeDocument/2006/customXml" ds:itemID="{C0390BCE-9210-4185-97A4-CCA2F5888C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 Columns Required</vt:lpstr>
      <vt:lpstr>Drop Down Field Values</vt:lpstr>
      <vt:lpstr>Table Layout &amp; Filters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Tyra Nair</dc:creator>
  <cp:lastModifiedBy>Tyra Nair</cp:lastModifiedBy>
  <dcterms:created xsi:type="dcterms:W3CDTF">2015-06-05T18:17:20Z</dcterms:created>
  <dcterms:modified xsi:type="dcterms:W3CDTF">2026-06-13T20:46:17Z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0x0101006504967B87E43548B484CA806BB6FC30</vt:lpwstr>
  </property>
</Properties>
</file>